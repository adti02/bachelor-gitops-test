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if Studium\bachelor-gitops-test\"/>
    </mc:Choice>
  </mc:AlternateContent>
  <xr:revisionPtr revIDLastSave="0" documentId="13_ncr:1_{3AF92E92-91B3-40A8-A158-A28C5DA85315}" xr6:coauthVersionLast="47" xr6:coauthVersionMax="47" xr10:uidLastSave="{00000000-0000-0000-0000-000000000000}"/>
  <bookViews>
    <workbookView xWindow="-108" yWindow="-108" windowWidth="23256" windowHeight="12456" activeTab="2" xr2:uid="{1B5F174B-0237-48BE-9DE6-E0EC7C0A6F4D}"/>
  </bookViews>
  <sheets>
    <sheet name="Tabelle1" sheetId="3" r:id="rId1"/>
    <sheet name="Deklarativ" sheetId="1" r:id="rId2"/>
    <sheet name="Imperativ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2" i="2" l="1"/>
  <c r="C32" i="2"/>
  <c r="B8" i="1"/>
  <c r="C8" i="1"/>
  <c r="D8" i="1"/>
  <c r="E8" i="1"/>
  <c r="B2" i="1"/>
</calcChain>
</file>

<file path=xl/sharedStrings.xml><?xml version="1.0" encoding="utf-8"?>
<sst xmlns="http://schemas.openxmlformats.org/spreadsheetml/2006/main" count="42" uniqueCount="15">
  <si>
    <t>Skriptdurchläufe</t>
  </si>
  <si>
    <t>ArgoCD: Mean-Time-To-Detect (in Sekunden)</t>
  </si>
  <si>
    <t>ArgoCD: Mean-Time-To-Repair (in Sekunden)</t>
  </si>
  <si>
    <t>Flux: Mean-Time-To-Detect (in Sekunden)</t>
  </si>
  <si>
    <t>Flux: Mean-Time-To-Repair (in Sekunden)</t>
  </si>
  <si>
    <t>Durchschnittliches Ergebnis aus 30 Durchläufen</t>
  </si>
  <si>
    <t>Durchgang</t>
  </si>
  <si>
    <t>Erkennungslatenz ArgoCD</t>
  </si>
  <si>
    <t>Reparaturzeit ArgoCD</t>
  </si>
  <si>
    <t>Änderung der Replicas</t>
  </si>
  <si>
    <t>1 -&gt; 3</t>
  </si>
  <si>
    <t>3 -&gt; 5</t>
  </si>
  <si>
    <t>5 -&gt; 1</t>
  </si>
  <si>
    <t>Erkennungslatenz Flux</t>
  </si>
  <si>
    <t>Reparaturzeit Flux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</si>
</sst>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2" fontId="1" fillId="0" borderId="5" xfId="0" applyNumberFormat="1" applyFont="1" applyBorder="1" applyAlignment="1">
      <alignment horizontal="center"/>
    </xf>
    <xf numFmtId="0" fontId="0" fillId="0" borderId="0" xfId="0" applyNumberFormat="1"/>
    <xf numFmtId="17" fontId="0" fillId="0" borderId="0" xfId="0" applyNumberFormat="1"/>
    <xf numFmtId="2" fontId="1" fillId="0" borderId="0" xfId="0" applyNumberFormat="1" applyFont="1"/>
    <xf numFmtId="0" fontId="0" fillId="0" borderId="7" xfId="0" applyNumberFormat="1" applyBorder="1"/>
    <xf numFmtId="0" fontId="0" fillId="0" borderId="7" xfId="0" applyBorder="1"/>
    <xf numFmtId="2" fontId="0" fillId="0" borderId="7" xfId="0" applyNumberFormat="1" applyBorder="1"/>
    <xf numFmtId="0" fontId="0" fillId="0" borderId="8" xfId="0" applyBorder="1" applyAlignment="1">
      <alignment horizontal="center"/>
    </xf>
    <xf numFmtId="0" fontId="1" fillId="0" borderId="7" xfId="0" applyNumberFormat="1" applyFont="1" applyBorder="1"/>
    <xf numFmtId="0" fontId="1" fillId="0" borderId="7" xfId="0" applyFont="1" applyBorder="1"/>
  </cellXfs>
  <cellStyles count="1">
    <cellStyle name="Standard" xfId="0" builtinId="0"/>
  </cellStyles>
  <dxfs count="8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Durchschnittswerte</a:t>
            </a:r>
            <a:r>
              <a:rPr lang="de-DE" baseline="0"/>
              <a:t> für MTTD und MTTR von ArgoCD und Flux bei 6 Skriptdurchläufen</a:t>
            </a:r>
            <a:endParaRPr lang="de-DE"/>
          </a:p>
        </c:rich>
      </c:tx>
      <c:layout>
        <c:manualLayout>
          <c:xMode val="edge"/>
          <c:yMode val="edge"/>
          <c:x val="8.7024864645542502E-2"/>
          <c:y val="1.83727034120734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Deklarativ!$B$1</c:f>
              <c:strCache>
                <c:ptCount val="1"/>
                <c:pt idx="0">
                  <c:v>ArgoCD: Mean-Time-To-Detect (in Sekunden)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Deklarativ!$A$2:$A$7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Deklarativ!$B$2:$B$7</c:f>
              <c:numCache>
                <c:formatCode>0.00</c:formatCode>
                <c:ptCount val="6"/>
                <c:pt idx="0">
                  <c:v>26.888999999999999</c:v>
                </c:pt>
                <c:pt idx="1">
                  <c:v>20.149999999999999</c:v>
                </c:pt>
                <c:pt idx="2">
                  <c:v>11.55</c:v>
                </c:pt>
                <c:pt idx="3">
                  <c:v>19.05</c:v>
                </c:pt>
                <c:pt idx="4">
                  <c:v>23.22</c:v>
                </c:pt>
                <c:pt idx="5">
                  <c:v>16.23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1-4B79-B619-69DB44290AAC}"/>
            </c:ext>
          </c:extLst>
        </c:ser>
        <c:ser>
          <c:idx val="1"/>
          <c:order val="1"/>
          <c:tx>
            <c:strRef>
              <c:f>Deklarativ!$C$1</c:f>
              <c:strCache>
                <c:ptCount val="1"/>
                <c:pt idx="0">
                  <c:v>ArgoCD: Mean-Time-To-Repair (in Sekunden)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Deklarativ!$A$2:$A$7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Deklarativ!$C$2:$C$7</c:f>
              <c:numCache>
                <c:formatCode>0.00</c:formatCode>
                <c:ptCount val="6"/>
                <c:pt idx="0">
                  <c:v>27.6</c:v>
                </c:pt>
                <c:pt idx="1">
                  <c:v>20.86</c:v>
                </c:pt>
                <c:pt idx="2">
                  <c:v>12.26</c:v>
                </c:pt>
                <c:pt idx="3">
                  <c:v>19.75</c:v>
                </c:pt>
                <c:pt idx="4">
                  <c:v>23.93</c:v>
                </c:pt>
                <c:pt idx="5">
                  <c:v>17.05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C1-4B79-B619-69DB44290AAC}"/>
            </c:ext>
          </c:extLst>
        </c:ser>
        <c:ser>
          <c:idx val="2"/>
          <c:order val="2"/>
          <c:tx>
            <c:strRef>
              <c:f>Deklarativ!$D$1</c:f>
              <c:strCache>
                <c:ptCount val="1"/>
                <c:pt idx="0">
                  <c:v>Flux: Mean-Time-To-Detect (in Sekunden)</c:v>
                </c:pt>
              </c:strCache>
            </c:strRef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Deklarativ!$A$2:$A$7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Deklarativ!$D$2:$D$7</c:f>
              <c:numCache>
                <c:formatCode>0.00</c:formatCode>
                <c:ptCount val="6"/>
                <c:pt idx="0">
                  <c:v>27.6</c:v>
                </c:pt>
                <c:pt idx="1">
                  <c:v>31.09</c:v>
                </c:pt>
                <c:pt idx="2">
                  <c:v>28.61</c:v>
                </c:pt>
                <c:pt idx="3">
                  <c:v>29.6</c:v>
                </c:pt>
                <c:pt idx="4">
                  <c:v>35.049999999999997</c:v>
                </c:pt>
                <c:pt idx="5">
                  <c:v>31.46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C1-4B79-B619-69DB44290AAC}"/>
            </c:ext>
          </c:extLst>
        </c:ser>
        <c:ser>
          <c:idx val="3"/>
          <c:order val="3"/>
          <c:tx>
            <c:strRef>
              <c:f>Deklarativ!$E$1</c:f>
              <c:strCache>
                <c:ptCount val="1"/>
                <c:pt idx="0">
                  <c:v>Flux: Mean-Time-To-Repair (in Sekunden)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Deklarativ!$A$2:$A$7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Deklarativ!$E$2:$E$7</c:f>
              <c:numCache>
                <c:formatCode>0.00</c:formatCode>
                <c:ptCount val="6"/>
                <c:pt idx="0">
                  <c:v>27.8</c:v>
                </c:pt>
                <c:pt idx="1">
                  <c:v>31.2</c:v>
                </c:pt>
                <c:pt idx="2">
                  <c:v>28.805</c:v>
                </c:pt>
                <c:pt idx="3">
                  <c:v>29.8</c:v>
                </c:pt>
                <c:pt idx="4">
                  <c:v>35.25</c:v>
                </c:pt>
                <c:pt idx="5">
                  <c:v>31.66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C1-4B79-B619-69DB44290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3204704"/>
        <c:axId val="1154554416"/>
      </c:scatterChart>
      <c:valAx>
        <c:axId val="132320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Skriptdurchläufe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54554416"/>
        <c:crosses val="autoZero"/>
        <c:crossBetween val="midCat"/>
      </c:valAx>
      <c:valAx>
        <c:axId val="115455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Durchschnittliche</a:t>
                </a:r>
                <a:r>
                  <a:rPr lang="de-DE" baseline="0"/>
                  <a:t> Zeit in Sekunden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23204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accent6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750994</xdr:colOff>
      <xdr:row>10</xdr:row>
      <xdr:rowOff>180340</xdr:rowOff>
    </xdr:from>
    <xdr:to>
      <xdr:col>4</xdr:col>
      <xdr:colOff>209974</xdr:colOff>
      <xdr:row>37</xdr:row>
      <xdr:rowOff>77893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F3C2312-B675-F799-0FFD-698C333008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0F46B6-89F5-4228-A193-B36F128A8F21}" name="Tabelle1" displayName="Tabelle1" ref="B1:E8" totalsRowShown="0" headerRowDxfId="7" headerRowBorderDxfId="6" tableBorderDxfId="5" totalsRowBorderDxfId="4">
  <autoFilter ref="B1:E8" xr:uid="{F50F46B6-89F5-4228-A193-B36F128A8F21}"/>
  <tableColumns count="4">
    <tableColumn id="1" xr3:uid="{AF371A6E-9CDE-499E-A61F-74FF7FF4A728}" name="ArgoCD: Mean-Time-To-Detect (in Sekunden)" dataDxfId="3"/>
    <tableColumn id="2" xr3:uid="{4BE6C3A9-A6AB-4EA0-9998-F92D31230D5E}" name="ArgoCD: Mean-Time-To-Repair (in Sekunden)" dataDxfId="2"/>
    <tableColumn id="3" xr3:uid="{33A058B3-65AD-4832-9386-1FEC839FD29F}" name="Flux: Mean-Time-To-Detect (in Sekunden)" dataDxfId="1"/>
    <tableColumn id="4" xr3:uid="{F305CA13-90EA-4678-9B01-8D6D57A82147}" name="Flux: Mean-Time-To-Repair (in Sekunden)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DCAEE8-BC61-4747-8042-D8A7CA848AEF}" name="Tabelle2" displayName="Tabelle2" ref="A1:A8" totalsRowShown="0">
  <autoFilter ref="A1:A8" xr:uid="{5CDCAEE8-BC61-4747-8042-D8A7CA848AEF}"/>
  <tableColumns count="1">
    <tableColumn id="1" xr3:uid="{A275D9B4-5575-4297-A144-3A2DD1A96CDE}" name="Skriptdurchläuf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8AF9-8988-44FE-ABAF-29DFD931E79C}">
  <dimension ref="A1"/>
  <sheetViews>
    <sheetView workbookViewId="0">
      <selection activeCell="A3" sqref="A3"/>
    </sheetView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D0AFB-FC65-4A16-8673-1D8C361902E0}">
  <dimension ref="A1:E21"/>
  <sheetViews>
    <sheetView zoomScale="90" zoomScaleNormal="90" workbookViewId="0">
      <selection activeCell="A14" sqref="A14"/>
    </sheetView>
  </sheetViews>
  <sheetFormatPr baseColWidth="10" defaultRowHeight="14.4" x14ac:dyDescent="0.3"/>
  <cols>
    <col min="1" max="1" width="43.5546875" bestFit="1" customWidth="1"/>
    <col min="2" max="3" width="41.44140625" bestFit="1" customWidth="1"/>
    <col min="4" max="4" width="40" bestFit="1" customWidth="1"/>
    <col min="5" max="5" width="39.88671875" bestFit="1" customWidth="1"/>
  </cols>
  <sheetData>
    <row r="1" spans="1:5" x14ac:dyDescent="0.3">
      <c r="A1" t="s">
        <v>0</v>
      </c>
      <c r="B1" s="4" t="s">
        <v>1</v>
      </c>
      <c r="C1" s="5" t="s">
        <v>2</v>
      </c>
      <c r="D1" s="8" t="s">
        <v>3</v>
      </c>
      <c r="E1" s="8" t="s">
        <v>4</v>
      </c>
    </row>
    <row r="2" spans="1:5" x14ac:dyDescent="0.3">
      <c r="A2">
        <v>1</v>
      </c>
      <c r="B2" s="6">
        <f>26.889</f>
        <v>26.888999999999999</v>
      </c>
      <c r="C2" s="7">
        <v>27.6</v>
      </c>
      <c r="D2" s="3">
        <v>27.6</v>
      </c>
      <c r="E2" s="3">
        <v>27.8</v>
      </c>
    </row>
    <row r="3" spans="1:5" x14ac:dyDescent="0.3">
      <c r="A3">
        <v>2</v>
      </c>
      <c r="B3" s="6">
        <v>20.149999999999999</v>
      </c>
      <c r="C3" s="7">
        <v>20.86</v>
      </c>
      <c r="D3" s="3">
        <v>31.09</v>
      </c>
      <c r="E3" s="3">
        <v>31.2</v>
      </c>
    </row>
    <row r="4" spans="1:5" x14ac:dyDescent="0.3">
      <c r="A4">
        <v>3</v>
      </c>
      <c r="B4" s="6">
        <v>11.55</v>
      </c>
      <c r="C4" s="7">
        <v>12.26</v>
      </c>
      <c r="D4" s="3">
        <v>28.61</v>
      </c>
      <c r="E4" s="3">
        <v>28.805</v>
      </c>
    </row>
    <row r="5" spans="1:5" x14ac:dyDescent="0.3">
      <c r="A5">
        <v>4</v>
      </c>
      <c r="B5" s="6">
        <v>19.05</v>
      </c>
      <c r="C5" s="7">
        <v>19.75</v>
      </c>
      <c r="D5" s="3">
        <v>29.6</v>
      </c>
      <c r="E5" s="3">
        <v>29.8</v>
      </c>
    </row>
    <row r="6" spans="1:5" x14ac:dyDescent="0.3">
      <c r="A6">
        <v>5</v>
      </c>
      <c r="B6" s="6">
        <v>23.22</v>
      </c>
      <c r="C6" s="7">
        <v>23.93</v>
      </c>
      <c r="D6" s="3">
        <v>35.049999999999997</v>
      </c>
      <c r="E6" s="3">
        <v>35.25</v>
      </c>
    </row>
    <row r="7" spans="1:5" x14ac:dyDescent="0.3">
      <c r="A7">
        <v>6</v>
      </c>
      <c r="B7" s="6">
        <v>16.23</v>
      </c>
      <c r="C7" s="7">
        <v>17.05</v>
      </c>
      <c r="D7" s="3">
        <v>31.46</v>
      </c>
      <c r="E7" s="3">
        <v>31.66</v>
      </c>
    </row>
    <row r="8" spans="1:5" x14ac:dyDescent="0.3">
      <c r="A8" s="10" t="s">
        <v>5</v>
      </c>
      <c r="B8" s="11">
        <f t="shared" ref="B8:D8" si="0">AVERAGE(B2:B7)</f>
        <v>19.514833333333332</v>
      </c>
      <c r="C8" s="11">
        <f t="shared" si="0"/>
        <v>20.241666666666667</v>
      </c>
      <c r="D8" s="11">
        <f t="shared" si="0"/>
        <v>30.568333333333332</v>
      </c>
      <c r="E8" s="11">
        <f>AVERAGE(E2:E7)</f>
        <v>30.752500000000001</v>
      </c>
    </row>
    <row r="9" spans="1:5" x14ac:dyDescent="0.3">
      <c r="A9" s="1"/>
      <c r="B9" s="1"/>
    </row>
    <row r="11" spans="1:5" x14ac:dyDescent="0.3">
      <c r="A11" s="1"/>
      <c r="B11" s="1"/>
    </row>
    <row r="12" spans="1:5" x14ac:dyDescent="0.3">
      <c r="A12" s="1"/>
      <c r="B12" s="1"/>
    </row>
    <row r="13" spans="1:5" x14ac:dyDescent="0.3">
      <c r="A13" s="1"/>
      <c r="B13" s="1"/>
    </row>
    <row r="15" spans="1:5" x14ac:dyDescent="0.3">
      <c r="A15" s="9"/>
      <c r="B15" s="9"/>
    </row>
    <row r="16" spans="1:5" x14ac:dyDescent="0.3">
      <c r="A16" s="9"/>
      <c r="B16" s="9"/>
    </row>
    <row r="17" spans="1:2" x14ac:dyDescent="0.3">
      <c r="A17" s="2"/>
      <c r="B17" s="2"/>
    </row>
    <row r="18" spans="1:2" x14ac:dyDescent="0.3">
      <c r="A18" s="1"/>
      <c r="B18" s="1"/>
    </row>
    <row r="19" spans="1:2" x14ac:dyDescent="0.3">
      <c r="A19" s="1"/>
      <c r="B19" s="1"/>
    </row>
    <row r="20" spans="1:2" x14ac:dyDescent="0.3">
      <c r="A20" s="1"/>
      <c r="B20" s="1"/>
    </row>
    <row r="21" spans="1:2" x14ac:dyDescent="0.3">
      <c r="A21" s="1"/>
      <c r="B21" s="1"/>
    </row>
  </sheetData>
  <pageMargins left="0.7" right="0.7" top="0.78740157499999996" bottom="0.78740157499999996" header="0.3" footer="0.3"/>
  <pageSetup paperSize="9" orientation="portrait" r:id="rId1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8D81-CEC0-4242-8D69-49E5934394A1}">
  <dimension ref="A1:Q32"/>
  <sheetViews>
    <sheetView tabSelected="1" zoomScale="85" zoomScaleNormal="85" workbookViewId="0">
      <selection activeCell="E2" sqref="E2"/>
    </sheetView>
  </sheetViews>
  <sheetFormatPr baseColWidth="10" defaultRowHeight="14.4" x14ac:dyDescent="0.3"/>
  <cols>
    <col min="2" max="2" width="19.88671875" bestFit="1" customWidth="1"/>
    <col min="3" max="3" width="22.77734375" bestFit="1" customWidth="1"/>
    <col min="4" max="4" width="19.21875" bestFit="1" customWidth="1"/>
    <col min="5" max="5" width="19.6640625" bestFit="1" customWidth="1"/>
    <col min="6" max="6" width="16.21875" bestFit="1" customWidth="1"/>
    <col min="8" max="8" width="17.88671875" bestFit="1" customWidth="1"/>
  </cols>
  <sheetData>
    <row r="1" spans="1:17" x14ac:dyDescent="0.3">
      <c r="A1" s="19" t="s">
        <v>6</v>
      </c>
      <c r="B1" s="20" t="s">
        <v>9</v>
      </c>
      <c r="C1" s="19" t="s">
        <v>7</v>
      </c>
      <c r="D1" s="19" t="s">
        <v>8</v>
      </c>
      <c r="E1" s="19" t="s">
        <v>13</v>
      </c>
      <c r="F1" s="19" t="s">
        <v>14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x14ac:dyDescent="0.3">
      <c r="A2" s="16">
        <v>1</v>
      </c>
      <c r="B2" s="15" t="s">
        <v>10</v>
      </c>
      <c r="C2" s="15">
        <v>20.77</v>
      </c>
      <c r="D2" s="15">
        <v>21.5</v>
      </c>
      <c r="E2" s="15"/>
      <c r="F2" s="15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3">
      <c r="A3" s="16">
        <v>2</v>
      </c>
      <c r="B3" s="15" t="s">
        <v>11</v>
      </c>
      <c r="C3" s="15">
        <v>16.36</v>
      </c>
      <c r="D3" s="15">
        <v>17.89</v>
      </c>
      <c r="E3" s="15"/>
      <c r="F3" s="15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3">
      <c r="A4" s="16">
        <v>3</v>
      </c>
      <c r="B4" s="15" t="s">
        <v>12</v>
      </c>
      <c r="C4" s="16">
        <v>16.75</v>
      </c>
      <c r="D4" s="16">
        <v>16.96</v>
      </c>
      <c r="E4" s="15"/>
      <c r="F4" s="15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x14ac:dyDescent="0.3">
      <c r="A5" s="16">
        <v>4</v>
      </c>
      <c r="B5" s="15" t="s">
        <v>10</v>
      </c>
      <c r="C5" s="17">
        <v>7.3</v>
      </c>
      <c r="D5" s="17">
        <v>8.42</v>
      </c>
      <c r="E5" s="15"/>
      <c r="F5" s="15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x14ac:dyDescent="0.3">
      <c r="A6" s="16">
        <v>5</v>
      </c>
      <c r="B6" s="15" t="s">
        <v>11</v>
      </c>
      <c r="C6" s="17">
        <v>31.96</v>
      </c>
      <c r="D6" s="17">
        <v>33.29</v>
      </c>
      <c r="E6" s="15"/>
      <c r="F6" s="15"/>
      <c r="G6" s="12"/>
      <c r="H6" s="12"/>
      <c r="I6" s="12"/>
      <c r="J6" s="13"/>
      <c r="K6" s="12"/>
      <c r="L6" s="12"/>
      <c r="M6" s="12"/>
      <c r="N6" s="12"/>
      <c r="O6" s="12"/>
      <c r="P6" s="12"/>
      <c r="Q6" s="12"/>
    </row>
    <row r="7" spans="1:17" x14ac:dyDescent="0.3">
      <c r="A7" s="16">
        <v>6</v>
      </c>
      <c r="B7" s="15" t="s">
        <v>12</v>
      </c>
      <c r="C7" s="17">
        <v>9.76</v>
      </c>
      <c r="D7" s="17">
        <v>10.01</v>
      </c>
      <c r="E7" s="15"/>
      <c r="F7" s="15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spans="1:17" x14ac:dyDescent="0.3">
      <c r="A8" s="16">
        <v>7</v>
      </c>
      <c r="B8" s="15" t="s">
        <v>10</v>
      </c>
      <c r="C8" s="17">
        <v>23.26</v>
      </c>
      <c r="D8" s="17">
        <v>24.1</v>
      </c>
      <c r="E8" s="15"/>
      <c r="F8" s="15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</row>
    <row r="9" spans="1:17" x14ac:dyDescent="0.3">
      <c r="A9" s="16">
        <v>8</v>
      </c>
      <c r="B9" s="15" t="s">
        <v>11</v>
      </c>
      <c r="C9" s="17">
        <v>12.64</v>
      </c>
      <c r="D9" s="17">
        <v>13.32</v>
      </c>
      <c r="E9" s="15"/>
      <c r="F9" s="15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</row>
    <row r="10" spans="1:17" x14ac:dyDescent="0.3">
      <c r="A10" s="16">
        <v>9</v>
      </c>
      <c r="B10" s="15" t="s">
        <v>12</v>
      </c>
      <c r="C10" s="17">
        <v>39.340000000000003</v>
      </c>
      <c r="D10" s="17">
        <v>39.57</v>
      </c>
      <c r="E10" s="15"/>
      <c r="F10" s="15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</row>
    <row r="11" spans="1:17" x14ac:dyDescent="0.3">
      <c r="A11" s="16">
        <v>10</v>
      </c>
      <c r="B11" s="15" t="s">
        <v>10</v>
      </c>
      <c r="C11" s="17">
        <v>25.47</v>
      </c>
      <c r="D11" s="17">
        <v>26.26</v>
      </c>
      <c r="E11" s="15"/>
      <c r="F11" s="15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1:17" x14ac:dyDescent="0.3">
      <c r="A12" s="16">
        <v>11</v>
      </c>
      <c r="B12" s="15" t="s">
        <v>11</v>
      </c>
      <c r="C12" s="17">
        <v>42.7</v>
      </c>
      <c r="D12" s="17">
        <v>44.16</v>
      </c>
      <c r="E12" s="15"/>
      <c r="F12" s="15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spans="1:17" x14ac:dyDescent="0.3">
      <c r="A13" s="16">
        <v>12</v>
      </c>
      <c r="B13" s="15" t="s">
        <v>12</v>
      </c>
      <c r="C13" s="17">
        <v>40.42</v>
      </c>
      <c r="D13" s="17">
        <v>40.64</v>
      </c>
      <c r="E13" s="15"/>
      <c r="F13" s="15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3">
      <c r="A14" s="16">
        <v>13</v>
      </c>
      <c r="B14" s="15" t="s">
        <v>10</v>
      </c>
      <c r="C14" s="17">
        <v>6.73</v>
      </c>
      <c r="D14" s="17">
        <v>7.85</v>
      </c>
      <c r="E14" s="15"/>
      <c r="F14" s="15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3">
      <c r="A15" s="16">
        <v>14</v>
      </c>
      <c r="B15" s="15" t="s">
        <v>11</v>
      </c>
      <c r="C15" s="17">
        <v>8.69</v>
      </c>
      <c r="D15" s="17">
        <v>9.32</v>
      </c>
      <c r="E15" s="15"/>
      <c r="F15" s="15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3">
      <c r="A16" s="16">
        <v>15</v>
      </c>
      <c r="B16" s="15" t="s">
        <v>12</v>
      </c>
      <c r="C16" s="17">
        <v>16.38</v>
      </c>
      <c r="D16" s="17">
        <v>16.62</v>
      </c>
      <c r="E16" s="15"/>
      <c r="F16" s="15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x14ac:dyDescent="0.3">
      <c r="A17" s="16">
        <v>16</v>
      </c>
      <c r="B17" s="15" t="s">
        <v>10</v>
      </c>
      <c r="C17" s="17">
        <v>11.47</v>
      </c>
      <c r="D17" s="17">
        <v>13.01</v>
      </c>
      <c r="E17" s="15"/>
      <c r="F17" s="15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x14ac:dyDescent="0.3">
      <c r="A18" s="16">
        <v>17</v>
      </c>
      <c r="B18" s="15" t="s">
        <v>11</v>
      </c>
      <c r="C18" s="17">
        <v>20.97</v>
      </c>
      <c r="D18" s="17">
        <v>22.78</v>
      </c>
      <c r="E18" s="15"/>
      <c r="F18" s="15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x14ac:dyDescent="0.3">
      <c r="A19" s="16">
        <v>18</v>
      </c>
      <c r="B19" s="15" t="s">
        <v>12</v>
      </c>
      <c r="C19" s="17">
        <v>35.880000000000003</v>
      </c>
      <c r="D19" s="17">
        <v>36.119999999999997</v>
      </c>
      <c r="E19" s="15"/>
      <c r="F19" s="15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x14ac:dyDescent="0.3">
      <c r="A20" s="16">
        <v>19</v>
      </c>
      <c r="B20" s="15" t="s">
        <v>10</v>
      </c>
      <c r="C20" s="17">
        <v>12.59</v>
      </c>
      <c r="D20" s="17">
        <v>13.23</v>
      </c>
      <c r="E20" s="15"/>
      <c r="F20" s="15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x14ac:dyDescent="0.3">
      <c r="A21" s="16">
        <v>20</v>
      </c>
      <c r="B21" s="15" t="s">
        <v>11</v>
      </c>
      <c r="C21" s="17">
        <v>9.18</v>
      </c>
      <c r="D21" s="17">
        <v>9.9700000000000006</v>
      </c>
      <c r="E21" s="15"/>
      <c r="F21" s="15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x14ac:dyDescent="0.3">
      <c r="A22" s="16">
        <v>21</v>
      </c>
      <c r="B22" s="15" t="s">
        <v>12</v>
      </c>
      <c r="C22" s="17">
        <v>29.87</v>
      </c>
      <c r="D22" s="17">
        <v>30.11</v>
      </c>
      <c r="E22" s="15"/>
      <c r="F22" s="15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x14ac:dyDescent="0.3">
      <c r="A23" s="16">
        <v>22</v>
      </c>
      <c r="B23" s="15" t="s">
        <v>10</v>
      </c>
      <c r="C23" s="17">
        <v>8.0299999999999994</v>
      </c>
      <c r="D23" s="17">
        <v>8.75</v>
      </c>
      <c r="E23" s="15"/>
      <c r="F23" s="15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x14ac:dyDescent="0.3">
      <c r="A24" s="16">
        <v>23</v>
      </c>
      <c r="B24" s="15" t="s">
        <v>11</v>
      </c>
      <c r="C24" s="17">
        <v>23.52</v>
      </c>
      <c r="D24" s="17">
        <v>24.63</v>
      </c>
      <c r="E24" s="15"/>
      <c r="F24" s="15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x14ac:dyDescent="0.3">
      <c r="A25" s="16">
        <v>24</v>
      </c>
      <c r="B25" s="15" t="s">
        <v>12</v>
      </c>
      <c r="C25" s="17">
        <v>6.97</v>
      </c>
      <c r="D25" s="17">
        <v>7.18</v>
      </c>
      <c r="E25" s="15"/>
      <c r="F25" s="15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x14ac:dyDescent="0.3">
      <c r="A26" s="16">
        <v>25</v>
      </c>
      <c r="B26" s="15" t="s">
        <v>10</v>
      </c>
      <c r="C26" s="17">
        <v>32.880000000000003</v>
      </c>
      <c r="D26" s="17">
        <v>33.79</v>
      </c>
      <c r="E26" s="16"/>
      <c r="F26" s="16"/>
    </row>
    <row r="27" spans="1:17" x14ac:dyDescent="0.3">
      <c r="A27" s="16">
        <v>26</v>
      </c>
      <c r="B27" s="15" t="s">
        <v>11</v>
      </c>
      <c r="C27" s="17">
        <v>35.049999999999997</v>
      </c>
      <c r="D27" s="17">
        <v>35.17</v>
      </c>
      <c r="E27" s="16"/>
      <c r="F27" s="16"/>
    </row>
    <row r="28" spans="1:17" x14ac:dyDescent="0.3">
      <c r="A28" s="16">
        <v>27</v>
      </c>
      <c r="B28" s="15" t="s">
        <v>12</v>
      </c>
      <c r="C28" s="17">
        <v>15.68</v>
      </c>
      <c r="D28" s="17">
        <v>15.9</v>
      </c>
      <c r="E28" s="16"/>
      <c r="F28" s="16"/>
    </row>
    <row r="29" spans="1:17" x14ac:dyDescent="0.3">
      <c r="A29" s="16">
        <v>28</v>
      </c>
      <c r="B29" s="15" t="s">
        <v>10</v>
      </c>
      <c r="C29" s="17">
        <v>37.81</v>
      </c>
      <c r="D29" s="17">
        <v>38.82</v>
      </c>
      <c r="E29" s="16"/>
      <c r="F29" s="16"/>
    </row>
    <row r="30" spans="1:17" x14ac:dyDescent="0.3">
      <c r="A30" s="16">
        <v>29</v>
      </c>
      <c r="B30" s="15" t="s">
        <v>11</v>
      </c>
      <c r="C30" s="17">
        <v>11.66</v>
      </c>
      <c r="D30" s="17">
        <v>13.2</v>
      </c>
      <c r="E30" s="16"/>
      <c r="F30" s="16"/>
    </row>
    <row r="31" spans="1:17" x14ac:dyDescent="0.3">
      <c r="A31" s="16">
        <v>30</v>
      </c>
      <c r="B31" s="15" t="s">
        <v>12</v>
      </c>
      <c r="C31" s="17">
        <v>38.81</v>
      </c>
      <c r="D31" s="17">
        <v>39.06</v>
      </c>
      <c r="E31" s="16"/>
      <c r="F31" s="16"/>
    </row>
    <row r="32" spans="1:17" x14ac:dyDescent="0.3">
      <c r="A32" s="18"/>
      <c r="B32" s="18"/>
      <c r="C32" s="10">
        <f>AVERAGE(C2:C31)</f>
        <v>21.629999999999995</v>
      </c>
      <c r="D32" s="14">
        <f>AVERAGE(D2:D31)</f>
        <v>22.387666666666671</v>
      </c>
    </row>
  </sheetData>
  <mergeCells count="1">
    <mergeCell ref="A32:B32"/>
  </mergeCells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Deklarativ</vt:lpstr>
      <vt:lpstr>Imperativ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Adrian Tischler</dc:creator>
  <cp:lastModifiedBy>Student Adrian Tischler</cp:lastModifiedBy>
  <dcterms:created xsi:type="dcterms:W3CDTF">2026-07-03T12:46:53Z</dcterms:created>
  <dcterms:modified xsi:type="dcterms:W3CDTF">2026-07-07T13:52:13Z</dcterms:modified>
</cp:coreProperties>
</file>